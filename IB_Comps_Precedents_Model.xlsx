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nj-my.sharepoint.com/personal/ltice_ramapo_edu/Documents/"/>
    </mc:Choice>
  </mc:AlternateContent>
  <xr:revisionPtr revIDLastSave="670" documentId="8_{7E02C2B6-788E-495A-9957-2758D6936676}" xr6:coauthVersionLast="47" xr6:coauthVersionMax="47" xr10:uidLastSave="{6F5331CB-489C-4466-A70B-288B0F97632A}"/>
  <bookViews>
    <workbookView xWindow="-108" yWindow="-108" windowWidth="23256" windowHeight="12456" firstSheet="3" activeTab="3" xr2:uid="{9FC97CF9-B5EA-4AE8-8FBD-EE7C7FBCBB91}"/>
  </bookViews>
  <sheets>
    <sheet name="Inputs_Target" sheetId="1" r:id="rId1"/>
    <sheet name="Comps" sheetId="2" r:id="rId2"/>
    <sheet name="Precedents" sheetId="3" r:id="rId3"/>
    <sheet name="Valuation_Output" sheetId="6" r:id="rId4"/>
    <sheet name="Assumptions_NotesNote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S3" i="6"/>
  <c r="T3" i="6"/>
  <c r="J3" i="2"/>
  <c r="J23" i="2" s="1"/>
  <c r="J4" i="2"/>
  <c r="J5" i="2"/>
  <c r="J6" i="2"/>
  <c r="J2" i="2"/>
  <c r="V3" i="6"/>
  <c r="U3" i="6"/>
  <c r="E4" i="2"/>
  <c r="I4" i="2" s="1"/>
  <c r="E5" i="2"/>
  <c r="I5" i="2" s="1"/>
  <c r="E6" i="2"/>
  <c r="I6" i="2" s="1"/>
  <c r="I5" i="6"/>
  <c r="I4" i="6"/>
  <c r="I3" i="6"/>
  <c r="M3" i="6"/>
  <c r="M4" i="6"/>
  <c r="M5" i="6"/>
  <c r="M2" i="6"/>
  <c r="E5" i="6"/>
  <c r="E2" i="6"/>
  <c r="E4" i="6"/>
  <c r="E3" i="6"/>
  <c r="I2" i="6"/>
  <c r="E2" i="2"/>
  <c r="I2" i="2" s="1"/>
  <c r="E3" i="2"/>
  <c r="I3" i="2" s="1"/>
  <c r="E7" i="2"/>
  <c r="I7" i="2" s="1"/>
  <c r="X3" i="6"/>
  <c r="X2" i="6"/>
  <c r="L6" i="3"/>
  <c r="L7" i="3"/>
  <c r="L8" i="3"/>
  <c r="L9" i="3"/>
  <c r="L10" i="3"/>
  <c r="L2" i="3"/>
  <c r="I10" i="3"/>
  <c r="H3" i="3"/>
  <c r="I3" i="3"/>
  <c r="L3" i="3" s="1"/>
  <c r="H4" i="3"/>
  <c r="I4" i="3"/>
  <c r="L4" i="3" s="1"/>
  <c r="H5" i="3"/>
  <c r="I5" i="3"/>
  <c r="L5" i="3" s="1"/>
  <c r="I20" i="3" s="1"/>
  <c r="D5" i="6" s="1"/>
  <c r="H6" i="3"/>
  <c r="I6" i="3"/>
  <c r="H7" i="3"/>
  <c r="I7" i="3"/>
  <c r="H8" i="3"/>
  <c r="I8" i="3"/>
  <c r="H9" i="3"/>
  <c r="I9" i="3"/>
  <c r="H10" i="3"/>
  <c r="I2" i="3"/>
  <c r="H2" i="3"/>
  <c r="K12" i="2"/>
  <c r="K3" i="2"/>
  <c r="K4" i="2"/>
  <c r="K5" i="2"/>
  <c r="K6" i="2"/>
  <c r="K7" i="2"/>
  <c r="K8" i="2"/>
  <c r="K9" i="2"/>
  <c r="K10" i="2"/>
  <c r="K11" i="2"/>
  <c r="K13" i="2"/>
  <c r="J13" i="2"/>
  <c r="J7" i="2"/>
  <c r="J8" i="2"/>
  <c r="J9" i="2"/>
  <c r="J10" i="2"/>
  <c r="J11" i="2"/>
  <c r="J12" i="2"/>
  <c r="I13" i="2"/>
  <c r="E8" i="2"/>
  <c r="I8" i="2" s="1"/>
  <c r="E9" i="2"/>
  <c r="I9" i="2" s="1"/>
  <c r="E10" i="2"/>
  <c r="I10" i="2" s="1"/>
  <c r="E11" i="2"/>
  <c r="I11" i="2" s="1"/>
  <c r="E12" i="2"/>
  <c r="I12" i="2" s="1"/>
  <c r="E13" i="2"/>
  <c r="I18" i="3" l="1"/>
  <c r="B5" i="6" s="1"/>
  <c r="I19" i="3"/>
  <c r="C5" i="6" s="1"/>
  <c r="H5" i="6"/>
  <c r="L5" i="6" s="1"/>
  <c r="P5" i="6" s="1"/>
  <c r="U5" i="6" s="1"/>
  <c r="F5" i="6"/>
  <c r="J5" i="6" s="1"/>
  <c r="N5" i="6" s="1"/>
  <c r="S5" i="6" s="1"/>
  <c r="H15" i="3"/>
  <c r="D4" i="6" s="1"/>
  <c r="H13" i="3"/>
  <c r="B4" i="6" s="1"/>
  <c r="F4" i="6" s="1"/>
  <c r="J4" i="6" s="1"/>
  <c r="H14" i="3"/>
  <c r="C4" i="6" s="1"/>
  <c r="G4" i="6" s="1"/>
  <c r="K4" i="6" s="1"/>
  <c r="J22" i="2" a="1"/>
  <c r="J22" i="2" s="1"/>
  <c r="C3" i="6" s="1"/>
  <c r="G3" i="6" s="1"/>
  <c r="K3" i="6" s="1"/>
  <c r="K28" i="2"/>
  <c r="J21" i="2"/>
  <c r="B3" i="6" s="1"/>
  <c r="F3" i="6" s="1"/>
  <c r="J3" i="6" s="1"/>
  <c r="N3" i="6" s="1"/>
  <c r="D3" i="6"/>
  <c r="H3" i="6" s="1"/>
  <c r="L3" i="6" s="1"/>
  <c r="P3" i="6" s="1"/>
  <c r="K27" i="2"/>
  <c r="K26" i="2"/>
  <c r="I17" i="2"/>
  <c r="C2" i="6" s="1"/>
  <c r="G2" i="6" s="1"/>
  <c r="K2" i="6" s="1"/>
  <c r="I18" i="2"/>
  <c r="D2" i="6" s="1"/>
  <c r="H2" i="6" s="1"/>
  <c r="L2" i="6" s="1"/>
  <c r="P2" i="6" s="1"/>
  <c r="U2" i="6" s="1"/>
  <c r="I16" i="2"/>
  <c r="B2" i="6" s="1"/>
  <c r="F2" i="6" s="1"/>
  <c r="J2" i="6" s="1"/>
  <c r="N2" i="6" s="1"/>
  <c r="S2" i="6" s="1"/>
  <c r="G5" i="6"/>
  <c r="K5" i="6" s="1"/>
  <c r="O5" i="6" s="1"/>
  <c r="H4" i="6"/>
  <c r="L4" i="6" s="1"/>
  <c r="P4" i="6" s="1"/>
  <c r="U4" i="6" s="1"/>
  <c r="O2" i="6" l="1"/>
  <c r="T2" i="6" s="1"/>
  <c r="T5" i="6"/>
  <c r="O4" i="6"/>
  <c r="T4" i="6" s="1"/>
  <c r="N4" i="6"/>
  <c r="S4" i="6" s="1"/>
  <c r="V4" i="6" s="1"/>
  <c r="O3" i="6"/>
  <c r="V5" i="6"/>
  <c r="V2" i="6"/>
</calcChain>
</file>

<file path=xl/sharedStrings.xml><?xml version="1.0" encoding="utf-8"?>
<sst xmlns="http://schemas.openxmlformats.org/spreadsheetml/2006/main" count="114" uniqueCount="76">
  <si>
    <t>Company</t>
  </si>
  <si>
    <t>Ticker</t>
  </si>
  <si>
    <t>Revenue LTM</t>
  </si>
  <si>
    <t>EBITDA LTM</t>
  </si>
  <si>
    <t>Net Income LTM</t>
  </si>
  <si>
    <t>Net Debt</t>
  </si>
  <si>
    <t>Shares Outstanding</t>
  </si>
  <si>
    <t>Current Price</t>
  </si>
  <si>
    <t>Market Cap</t>
  </si>
  <si>
    <t>Enterprise Value (EV)</t>
  </si>
  <si>
    <t>EV/Revenue</t>
  </si>
  <si>
    <t>EV/EBITDA</t>
  </si>
  <si>
    <t>P/E</t>
  </si>
  <si>
    <t>Announce Date</t>
  </si>
  <si>
    <t>Acquirer</t>
  </si>
  <si>
    <t>Target</t>
  </si>
  <si>
    <t>Industry</t>
  </si>
  <si>
    <t>Deal EV</t>
  </si>
  <si>
    <t>Deal type</t>
  </si>
  <si>
    <t>Source</t>
  </si>
  <si>
    <t>25th Percentile</t>
  </si>
  <si>
    <t>Median</t>
  </si>
  <si>
    <t>75th Percentile</t>
  </si>
  <si>
    <t>EV / EBITDA</t>
  </si>
  <si>
    <t>P / E</t>
  </si>
  <si>
    <t>EV / Revenue</t>
  </si>
  <si>
    <t>Adj EV/EBITDA</t>
  </si>
  <si>
    <t>Comps EV/Revenue</t>
  </si>
  <si>
    <t>Comps EV/EBITDA</t>
  </si>
  <si>
    <t>Precedents EV/Revenue</t>
  </si>
  <si>
    <t>Precedents EV/EBITDA</t>
  </si>
  <si>
    <t>P25 Multiple</t>
  </si>
  <si>
    <t>Median Multiple</t>
  </si>
  <si>
    <t>P75 Multiple</t>
  </si>
  <si>
    <t>Target Metric</t>
  </si>
  <si>
    <t>Implied EV (Low)</t>
  </si>
  <si>
    <t>Implied EV (Mid)</t>
  </si>
  <si>
    <t>Implied EV (High)</t>
  </si>
  <si>
    <t>Equity Value (Low)</t>
  </si>
  <si>
    <t>Equity Value (Mid)</t>
  </si>
  <si>
    <t>Equity Value (High)</t>
  </si>
  <si>
    <t>Price / Share (Low)</t>
  </si>
  <si>
    <t>Price / Share (Mid)</t>
  </si>
  <si>
    <t>Price / Share (High)</t>
  </si>
  <si>
    <t>Method</t>
  </si>
  <si>
    <t>Low</t>
  </si>
  <si>
    <t>Mid</t>
  </si>
  <si>
    <t>High</t>
  </si>
  <si>
    <t>Range</t>
  </si>
  <si>
    <t>PayPal Holdings</t>
  </si>
  <si>
    <t>PYPL</t>
  </si>
  <si>
    <t>SQ</t>
  </si>
  <si>
    <t>Block</t>
  </si>
  <si>
    <t>AXP</t>
  </si>
  <si>
    <t>AmEx</t>
  </si>
  <si>
    <t>V</t>
  </si>
  <si>
    <t>Visa</t>
  </si>
  <si>
    <t>MA</t>
  </si>
  <si>
    <t>Mastercard</t>
  </si>
  <si>
    <t>GPN</t>
  </si>
  <si>
    <t>Global Payments</t>
  </si>
  <si>
    <t>FIS</t>
  </si>
  <si>
    <t>FISV</t>
  </si>
  <si>
    <t>PayPal</t>
  </si>
  <si>
    <t>Stripe</t>
  </si>
  <si>
    <t>Worldpay</t>
  </si>
  <si>
    <t>First Data</t>
  </si>
  <si>
    <t>iZettle</t>
  </si>
  <si>
    <t>Bouncer</t>
  </si>
  <si>
    <t>Payments</t>
  </si>
  <si>
    <t>LBO</t>
  </si>
  <si>
    <t>Strategic</t>
  </si>
  <si>
    <t>Press</t>
  </si>
  <si>
    <t>Valuation ranges reflect P25–P75 multiples. EV/EBITDA is treated as the primary valuation method, with EV/Revenue used as a secondary cross-check. The vertical line denotes the current share price. Certain EV/EBITDA-based trading multiples were excluded where margin differences among peers produced disproportionately high implied values.</t>
  </si>
  <si>
    <t>Financials in USD millions except per-share data.</t>
  </si>
  <si>
    <t>Revenue, EBITDA, and net income are in USD millions. Net debt is negative as the company holds net cash. Shares outstanding are in millions.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</si>
</sst>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tx1"/>
                </a:solidFill>
              </a:rPr>
              <a:t>Implied</a:t>
            </a:r>
            <a:r>
              <a:rPr lang="en-US" b="0" baseline="0">
                <a:solidFill>
                  <a:schemeClr val="tx1"/>
                </a:solidFill>
              </a:rPr>
              <a:t> Equity Value Per Share</a:t>
            </a:r>
            <a:endParaRPr lang="en-US" b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803149606299209E-2"/>
          <c:y val="0.16245370370370371"/>
          <c:w val="0.89664129483814525"/>
          <c:h val="0.6153546952464275"/>
        </c:manualLayout>
      </c:layout>
      <c:barChart>
        <c:barDir val="bar"/>
        <c:grouping val="stacked"/>
        <c:varyColors val="0"/>
        <c:ser>
          <c:idx val="1"/>
          <c:order val="1"/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val>
            <c:numRef>
              <c:f>Valuation_Output!$S$3:$V$3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4-4BDC-B273-BA7426C7E084}"/>
            </c:ext>
          </c:extLst>
        </c:ser>
        <c:ser>
          <c:idx val="0"/>
          <c:order val="0"/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val>
            <c:numRef>
              <c:f>Valuation_Output!$S$2:$V$2</c:f>
              <c:numCache>
                <c:formatCode>General</c:formatCode>
                <c:ptCount val="4"/>
                <c:pt idx="0">
                  <c:v>75.986622073578602</c:v>
                </c:pt>
                <c:pt idx="1">
                  <c:v>122.5629290617849</c:v>
                </c:pt>
                <c:pt idx="2">
                  <c:v>124.72049689440993</c:v>
                </c:pt>
                <c:pt idx="3">
                  <c:v>48.733874820831332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4-4BDC-B273-BA7426C7E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18548559"/>
        <c:axId val="41855191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Valuation_Output!$S$4:$V$4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22.477116704805493</c:v>
                      </c:pt>
                      <c:pt idx="1">
                        <c:v>23.405034324942793</c:v>
                      </c:pt>
                      <c:pt idx="2">
                        <c:v>23.913043478260871</c:v>
                      </c:pt>
                      <c:pt idx="3">
                        <c:v>1.4359267734553782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6D4-4BDC-B273-BA7426C7E084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Valuation_Output!$S$5:$V$5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55.253350768224905</c:v>
                      </c:pt>
                      <c:pt idx="1">
                        <c:v>58.947368421052623</c:v>
                      </c:pt>
                      <c:pt idx="2">
                        <c:v>71.304347826086953</c:v>
                      </c:pt>
                      <c:pt idx="3">
                        <c:v>16.050997057862048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6D4-4BDC-B273-BA7426C7E084}"/>
                  </c:ext>
                </c:extLst>
              </c15:ser>
            </c15:filteredBarSeries>
          </c:ext>
        </c:extLst>
      </c:barChart>
      <c:scatterChart>
        <c:scatterStyle val="lineMarker"/>
        <c:varyColors val="0"/>
        <c:ser>
          <c:idx val="4"/>
          <c:order val="4"/>
          <c:tx>
            <c:v>Current Price</c:v>
          </c:tx>
          <c:spPr>
            <a:ln w="158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Valuation_Output!$X$2:$X$3</c:f>
              <c:numCache>
                <c:formatCode>General</c:formatCode>
                <c:ptCount val="2"/>
                <c:pt idx="0">
                  <c:v>62</c:v>
                </c:pt>
                <c:pt idx="1">
                  <c:v>62</c:v>
                </c:pt>
              </c:numCache>
            </c:numRef>
          </c:xVal>
          <c:yVal>
            <c:numRef>
              <c:f>Valuation_Output!$Y$2:$Y$3</c:f>
              <c:numCache>
                <c:formatCode>General</c:formatCode>
                <c:ptCount val="2"/>
                <c:pt idx="0">
                  <c:v>0.5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6D4-4BDC-B273-BA7426C7E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324399"/>
        <c:axId val="414323439"/>
      </c:scatterChart>
      <c:valAx>
        <c:axId val="4143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323439"/>
        <c:crosses val="autoZero"/>
        <c:crossBetween val="midCat"/>
      </c:valAx>
      <c:valAx>
        <c:axId val="414323439"/>
        <c:scaling>
          <c:orientation val="minMax"/>
          <c:max val="4.5"/>
          <c:min val="0.5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324399"/>
        <c:crosses val="max"/>
        <c:crossBetween val="midCat"/>
        <c:majorUnit val="1"/>
      </c:valAx>
      <c:valAx>
        <c:axId val="4185519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18548559"/>
        <c:crosses val="max"/>
        <c:crossBetween val="between"/>
      </c:valAx>
      <c:catAx>
        <c:axId val="418548559"/>
        <c:scaling>
          <c:orientation val="minMax"/>
        </c:scaling>
        <c:delete val="1"/>
        <c:axPos val="l"/>
        <c:majorTickMark val="out"/>
        <c:minorTickMark val="none"/>
        <c:tickLblPos val="nextTo"/>
        <c:crossAx val="418551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228600</xdr:colOff>
      <xdr:row>6</xdr:row>
      <xdr:rowOff>3810</xdr:rowOff>
    </xdr:from>
    <xdr:to>
      <xdr:col>22</xdr:col>
      <xdr:colOff>350520</xdr:colOff>
      <xdr:row>21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6E056B-F569-224D-9BEB-63EF0521E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CFA6-9427-4F48-AA35-10DC80A1F4B2}">
  <dimension ref="A1:H3"/>
  <sheetViews>
    <sheetView workbookViewId="0">
      <selection activeCell="C4" sqref="C4"/>
    </sheetView>
  </sheetViews>
  <sheetFormatPr defaultRowHeight="14.4"/>
  <cols>
    <col min="1" max="1" width="13.88671875" bestFit="1" customWidth="1"/>
    <col min="3" max="3" width="11.44140625" bestFit="1" customWidth="1"/>
    <col min="4" max="4" width="10.33203125" bestFit="1" customWidth="1"/>
    <col min="5" max="5" width="13.88671875" bestFit="1" customWidth="1"/>
    <col min="6" max="6" width="8" bestFit="1" customWidth="1"/>
    <col min="7" max="7" width="16.6640625" bestFit="1" customWidth="1"/>
    <col min="8" max="8" width="11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49</v>
      </c>
      <c r="B2" t="s">
        <v>50</v>
      </c>
      <c r="C2">
        <v>30000</v>
      </c>
      <c r="D2">
        <v>6000</v>
      </c>
      <c r="E2">
        <v>4200</v>
      </c>
      <c r="F2">
        <v>-2000</v>
      </c>
      <c r="G2">
        <v>1150</v>
      </c>
      <c r="H2">
        <v>62</v>
      </c>
    </row>
    <row r="3" spans="1:8">
      <c r="A3" s="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8FD4-D934-47E0-8CE1-DC65AB33AA98}">
  <dimension ref="A1:K28"/>
  <sheetViews>
    <sheetView topLeftCell="F1" workbookViewId="0">
      <selection activeCell="L5" sqref="L5"/>
    </sheetView>
  </sheetViews>
  <sheetFormatPr defaultRowHeight="14.4"/>
  <cols>
    <col min="2" max="2" width="14.5546875" bestFit="1" customWidth="1"/>
    <col min="3" max="3" width="10.109375" bestFit="1" customWidth="1"/>
    <col min="6" max="6" width="11.44140625" bestFit="1" customWidth="1"/>
    <col min="7" max="7" width="10.33203125" bestFit="1" customWidth="1"/>
    <col min="8" max="8" width="13.88671875" bestFit="1" customWidth="1"/>
    <col min="9" max="9" width="10.6640625" bestFit="1" customWidth="1"/>
    <col min="10" max="10" width="9.5546875" bestFit="1" customWidth="1"/>
  </cols>
  <sheetData>
    <row r="1" spans="1:11">
      <c r="A1" t="s">
        <v>1</v>
      </c>
      <c r="B1" t="s">
        <v>0</v>
      </c>
      <c r="C1" t="s">
        <v>8</v>
      </c>
      <c r="D1" t="s">
        <v>5</v>
      </c>
      <c r="E1" t="s">
        <v>9</v>
      </c>
      <c r="F1" t="s">
        <v>2</v>
      </c>
      <c r="G1" t="s">
        <v>3</v>
      </c>
      <c r="H1" t="s">
        <v>4</v>
      </c>
      <c r="I1" t="s">
        <v>10</v>
      </c>
      <c r="J1" t="s">
        <v>11</v>
      </c>
      <c r="K1" t="s">
        <v>12</v>
      </c>
    </row>
    <row r="2" spans="1:11">
      <c r="A2" t="s">
        <v>51</v>
      </c>
      <c r="B2" t="s">
        <v>52</v>
      </c>
      <c r="C2">
        <v>65000</v>
      </c>
      <c r="D2">
        <v>-1500</v>
      </c>
      <c r="E2">
        <f>C2+D2</f>
        <v>63500</v>
      </c>
      <c r="F2">
        <v>32000</v>
      </c>
      <c r="G2">
        <v>7000</v>
      </c>
      <c r="H2">
        <v>800</v>
      </c>
      <c r="I2">
        <f>IFERROR(E2/F2,"")</f>
        <v>1.984375</v>
      </c>
      <c r="J2">
        <f>IFERROR(E2/G2,"")</f>
        <v>9.0714285714285712</v>
      </c>
      <c r="K2">
        <f>IFERROR(C2/H2,"")</f>
        <v>81.25</v>
      </c>
    </row>
    <row r="3" spans="1:11">
      <c r="A3" t="s">
        <v>53</v>
      </c>
      <c r="B3" t="s">
        <v>54</v>
      </c>
      <c r="C3">
        <v>40000</v>
      </c>
      <c r="D3">
        <v>17000</v>
      </c>
      <c r="E3">
        <f t="shared" ref="E3:E13" si="0">C3+D3</f>
        <v>57000</v>
      </c>
      <c r="F3">
        <v>10000</v>
      </c>
      <c r="G3">
        <v>3800</v>
      </c>
      <c r="H3">
        <v>9000</v>
      </c>
      <c r="I3">
        <f t="shared" ref="I3:I12" si="1">IFERROR(E3/F3,"")</f>
        <v>5.7</v>
      </c>
      <c r="J3">
        <f t="shared" ref="J3:J6" si="2">IFERROR(E3/G3,"")</f>
        <v>15</v>
      </c>
      <c r="K3">
        <f t="shared" ref="K3:K13" si="3">IFERROR(C3/H3,"")</f>
        <v>4.4444444444444446</v>
      </c>
    </row>
    <row r="4" spans="1:11">
      <c r="A4" t="s">
        <v>55</v>
      </c>
      <c r="B4" t="s">
        <v>56</v>
      </c>
      <c r="C4">
        <v>52000</v>
      </c>
      <c r="D4">
        <v>14000</v>
      </c>
      <c r="E4">
        <f t="shared" si="0"/>
        <v>66000</v>
      </c>
      <c r="F4">
        <v>14000</v>
      </c>
      <c r="G4">
        <v>4600</v>
      </c>
      <c r="H4">
        <v>18000</v>
      </c>
      <c r="I4">
        <f t="shared" si="1"/>
        <v>4.7142857142857144</v>
      </c>
      <c r="J4">
        <f t="shared" si="2"/>
        <v>14.347826086956522</v>
      </c>
      <c r="K4">
        <f t="shared" si="3"/>
        <v>2.8888888888888888</v>
      </c>
    </row>
    <row r="5" spans="1:11">
      <c r="A5" t="s">
        <v>57</v>
      </c>
      <c r="B5" t="s">
        <v>58</v>
      </c>
      <c r="C5">
        <v>70000</v>
      </c>
      <c r="D5">
        <v>18000</v>
      </c>
      <c r="E5">
        <f t="shared" si="0"/>
        <v>88000</v>
      </c>
      <c r="F5">
        <v>19000</v>
      </c>
      <c r="G5">
        <v>6500</v>
      </c>
      <c r="H5">
        <v>12000</v>
      </c>
      <c r="I5">
        <f t="shared" si="1"/>
        <v>4.6315789473684212</v>
      </c>
      <c r="J5">
        <f t="shared" si="2"/>
        <v>13.538461538461538</v>
      </c>
      <c r="K5">
        <f t="shared" si="3"/>
        <v>5.833333333333333</v>
      </c>
    </row>
    <row r="6" spans="1:11">
      <c r="A6" t="s">
        <v>59</v>
      </c>
      <c r="B6" t="s">
        <v>60</v>
      </c>
      <c r="C6">
        <v>140000</v>
      </c>
      <c r="D6">
        <v>45000</v>
      </c>
      <c r="E6">
        <f t="shared" si="0"/>
        <v>185000</v>
      </c>
      <c r="F6">
        <v>65000</v>
      </c>
      <c r="G6">
        <v>23000</v>
      </c>
      <c r="H6">
        <v>1600</v>
      </c>
      <c r="I6">
        <f t="shared" si="1"/>
        <v>2.8461538461538463</v>
      </c>
      <c r="J6">
        <f t="shared" si="2"/>
        <v>8.0434782608695645</v>
      </c>
      <c r="K6">
        <f t="shared" si="3"/>
        <v>87.5</v>
      </c>
    </row>
    <row r="7" spans="1:11" hidden="1">
      <c r="E7">
        <f t="shared" si="0"/>
        <v>0</v>
      </c>
      <c r="I7" t="str">
        <f t="shared" si="1"/>
        <v/>
      </c>
      <c r="J7" t="str">
        <f t="shared" ref="J7:J12" si="4">IFERROR(C7/H7,"")</f>
        <v/>
      </c>
      <c r="K7" t="str">
        <f t="shared" si="3"/>
        <v/>
      </c>
    </row>
    <row r="8" spans="1:11" hidden="1">
      <c r="E8">
        <f t="shared" si="0"/>
        <v>0</v>
      </c>
      <c r="I8" t="str">
        <f t="shared" si="1"/>
        <v/>
      </c>
      <c r="J8" t="str">
        <f t="shared" si="4"/>
        <v/>
      </c>
      <c r="K8" t="str">
        <f t="shared" si="3"/>
        <v/>
      </c>
    </row>
    <row r="9" spans="1:11" hidden="1">
      <c r="E9">
        <f t="shared" si="0"/>
        <v>0</v>
      </c>
      <c r="I9" t="str">
        <f t="shared" si="1"/>
        <v/>
      </c>
      <c r="J9" t="str">
        <f t="shared" si="4"/>
        <v/>
      </c>
      <c r="K9" t="str">
        <f t="shared" si="3"/>
        <v/>
      </c>
    </row>
    <row r="10" spans="1:11" hidden="1">
      <c r="E10">
        <f t="shared" si="0"/>
        <v>0</v>
      </c>
      <c r="I10" t="str">
        <f t="shared" si="1"/>
        <v/>
      </c>
      <c r="J10" t="str">
        <f t="shared" si="4"/>
        <v/>
      </c>
      <c r="K10" t="str">
        <f t="shared" si="3"/>
        <v/>
      </c>
    </row>
    <row r="11" spans="1:11" hidden="1">
      <c r="E11">
        <f t="shared" si="0"/>
        <v>0</v>
      </c>
      <c r="I11" t="str">
        <f t="shared" si="1"/>
        <v/>
      </c>
      <c r="J11" t="str">
        <f t="shared" si="4"/>
        <v/>
      </c>
      <c r="K11" t="str">
        <f t="shared" si="3"/>
        <v/>
      </c>
    </row>
    <row r="12" spans="1:11" hidden="1">
      <c r="E12">
        <f t="shared" si="0"/>
        <v>0</v>
      </c>
      <c r="I12" t="str">
        <f t="shared" si="1"/>
        <v/>
      </c>
      <c r="J12" t="str">
        <f t="shared" si="4"/>
        <v/>
      </c>
      <c r="K12" t="str">
        <f>IFERROR(C12/H12,"")</f>
        <v/>
      </c>
    </row>
    <row r="13" spans="1:11" hidden="1">
      <c r="E13">
        <f t="shared" si="0"/>
        <v>0</v>
      </c>
      <c r="I13" t="str">
        <f>IFERROR(E13/F13,"")</f>
        <v/>
      </c>
      <c r="J13" t="str">
        <f>IFERROR(C13/H13,"")</f>
        <v/>
      </c>
      <c r="K13" t="str">
        <f t="shared" si="3"/>
        <v/>
      </c>
    </row>
    <row r="15" spans="1:11">
      <c r="H15" t="s">
        <v>10</v>
      </c>
    </row>
    <row r="16" spans="1:11">
      <c r="H16" t="s">
        <v>20</v>
      </c>
      <c r="I16">
        <f>_xlfn.QUARTILE.INC(I2:I13,1)</f>
        <v>2.8461538461538463</v>
      </c>
    </row>
    <row r="17" spans="8:11">
      <c r="H17" t="s">
        <v>21</v>
      </c>
      <c r="I17">
        <f>MEDIAN(I2:I13)</f>
        <v>4.6315789473684212</v>
      </c>
    </row>
    <row r="18" spans="8:11">
      <c r="H18" t="s">
        <v>22</v>
      </c>
      <c r="I18">
        <f>_xlfn.QUARTILE.INC(I2:I13,3)</f>
        <v>4.7142857142857144</v>
      </c>
    </row>
    <row r="20" spans="8:11">
      <c r="H20" s="1" t="s">
        <v>23</v>
      </c>
    </row>
    <row r="21" spans="8:11">
      <c r="H21" s="1" t="s">
        <v>20</v>
      </c>
      <c r="J21">
        <f>_xlfn.QUARTILE.INC(J2:J13,1)</f>
        <v>9.0714285714285712</v>
      </c>
    </row>
    <row r="22" spans="8:11">
      <c r="H22" s="1" t="s">
        <v>21</v>
      </c>
      <c r="J22">
        <f t="array" ref="J22">MEDIAN(IF(G2:G13&gt;0,J2:J13))</f>
        <v>13.538461538461538</v>
      </c>
    </row>
    <row r="23" spans="8:11">
      <c r="H23" s="1" t="s">
        <v>22</v>
      </c>
      <c r="J23">
        <f>_xlfn.QUARTILE.INC(J2:J13,3)</f>
        <v>14.347826086956522</v>
      </c>
    </row>
    <row r="25" spans="8:11">
      <c r="H25" s="1" t="s">
        <v>24</v>
      </c>
    </row>
    <row r="26" spans="8:11">
      <c r="H26" s="1" t="s">
        <v>20</v>
      </c>
      <c r="K26">
        <f>_xlfn.QUARTILE.INC(K2:K13,1)</f>
        <v>4.4444444444444446</v>
      </c>
    </row>
    <row r="27" spans="8:11">
      <c r="H27" s="1" t="s">
        <v>21</v>
      </c>
      <c r="K27">
        <f>MEDIAN(K2:K13)</f>
        <v>5.833333333333333</v>
      </c>
    </row>
    <row r="28" spans="8:11">
      <c r="H28" s="1" t="s">
        <v>22</v>
      </c>
      <c r="K28">
        <f>_xlfn.QUARTILE.INC(K2:K13,3)</f>
        <v>81.25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14E0-966D-4AE6-A278-6E9D8E0010A2}">
  <dimension ref="A1:L20"/>
  <sheetViews>
    <sheetView workbookViewId="0">
      <selection activeCell="F19" sqref="F19"/>
    </sheetView>
  </sheetViews>
  <sheetFormatPr defaultRowHeight="14.4"/>
  <cols>
    <col min="1" max="1" width="13.33203125" bestFit="1" customWidth="1"/>
    <col min="6" max="6" width="11.44140625" bestFit="1" customWidth="1"/>
    <col min="7" max="7" width="13.21875" bestFit="1" customWidth="1"/>
    <col min="8" max="8" width="10.6640625" bestFit="1" customWidth="1"/>
    <col min="9" max="9" width="9.5546875" bestFit="1" customWidth="1"/>
    <col min="12" max="12" width="12.44140625" hidden="1" customWidth="1"/>
  </cols>
  <sheetData>
    <row r="1" spans="1:1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2</v>
      </c>
      <c r="G1" t="s">
        <v>3</v>
      </c>
      <c r="H1" t="s">
        <v>10</v>
      </c>
      <c r="I1" t="s">
        <v>11</v>
      </c>
      <c r="J1" t="s">
        <v>18</v>
      </c>
      <c r="K1" t="s">
        <v>19</v>
      </c>
      <c r="L1" t="s">
        <v>26</v>
      </c>
    </row>
    <row r="2" spans="1:12">
      <c r="A2">
        <v>2021</v>
      </c>
      <c r="B2" t="s">
        <v>61</v>
      </c>
      <c r="C2" t="s">
        <v>65</v>
      </c>
      <c r="D2" t="s">
        <v>69</v>
      </c>
      <c r="E2">
        <v>43000</v>
      </c>
      <c r="F2">
        <v>12000</v>
      </c>
      <c r="G2">
        <v>4200</v>
      </c>
      <c r="H2">
        <f>IFERROR(E2/F2,"")</f>
        <v>3.5833333333333335</v>
      </c>
      <c r="I2">
        <f>IFERROR(E2/G2,"")</f>
        <v>10.238095238095237</v>
      </c>
      <c r="J2" t="s">
        <v>70</v>
      </c>
      <c r="K2" t="s">
        <v>72</v>
      </c>
      <c r="L2">
        <f>IF(G2&gt;0,I2,"")</f>
        <v>10.238095238095237</v>
      </c>
    </row>
    <row r="3" spans="1:12">
      <c r="A3">
        <v>2020</v>
      </c>
      <c r="B3" t="s">
        <v>62</v>
      </c>
      <c r="C3" t="s">
        <v>66</v>
      </c>
      <c r="D3" t="s">
        <v>69</v>
      </c>
      <c r="E3">
        <v>39000</v>
      </c>
      <c r="F3">
        <v>9500</v>
      </c>
      <c r="G3">
        <v>3800</v>
      </c>
      <c r="H3">
        <f t="shared" ref="H3:H10" si="0">IFERROR(E3/F3,"")</f>
        <v>4.1052631578947372</v>
      </c>
      <c r="I3">
        <f t="shared" ref="I3:I9" si="1">IFERROR(E3/G3,"")</f>
        <v>10.263157894736842</v>
      </c>
      <c r="J3" t="s">
        <v>71</v>
      </c>
      <c r="K3" t="s">
        <v>72</v>
      </c>
      <c r="L3">
        <f t="shared" ref="L3:L10" si="2">IF(G3&gt;0,I3,"")</f>
        <v>10.263157894736842</v>
      </c>
    </row>
    <row r="4" spans="1:12">
      <c r="A4">
        <v>2019</v>
      </c>
      <c r="B4" t="s">
        <v>63</v>
      </c>
      <c r="C4" t="s">
        <v>67</v>
      </c>
      <c r="D4" t="s">
        <v>69</v>
      </c>
      <c r="E4">
        <v>2200</v>
      </c>
      <c r="F4">
        <v>500</v>
      </c>
      <c r="G4">
        <v>120</v>
      </c>
      <c r="H4">
        <f t="shared" si="0"/>
        <v>4.4000000000000004</v>
      </c>
      <c r="I4">
        <f t="shared" si="1"/>
        <v>18.333333333333332</v>
      </c>
      <c r="J4" t="s">
        <v>71</v>
      </c>
      <c r="K4" t="s">
        <v>72</v>
      </c>
      <c r="L4">
        <f t="shared" si="2"/>
        <v>18.333333333333332</v>
      </c>
    </row>
    <row r="5" spans="1:12">
      <c r="A5">
        <v>2022</v>
      </c>
      <c r="B5" t="s">
        <v>64</v>
      </c>
      <c r="C5" t="s">
        <v>68</v>
      </c>
      <c r="D5" t="s">
        <v>69</v>
      </c>
      <c r="E5">
        <v>21000</v>
      </c>
      <c r="F5">
        <v>5000</v>
      </c>
      <c r="G5">
        <v>1800</v>
      </c>
      <c r="H5">
        <f t="shared" si="0"/>
        <v>4.2</v>
      </c>
      <c r="I5">
        <f t="shared" si="1"/>
        <v>11.666666666666666</v>
      </c>
      <c r="J5" t="s">
        <v>71</v>
      </c>
      <c r="K5" t="s">
        <v>72</v>
      </c>
      <c r="L5">
        <f t="shared" si="2"/>
        <v>11.666666666666666</v>
      </c>
    </row>
    <row r="6" spans="1:12" ht="1.2" customHeight="1">
      <c r="H6" t="str">
        <f t="shared" si="0"/>
        <v/>
      </c>
      <c r="I6" t="str">
        <f t="shared" si="1"/>
        <v/>
      </c>
      <c r="L6" t="str">
        <f t="shared" si="2"/>
        <v/>
      </c>
    </row>
    <row r="7" spans="1:12" hidden="1">
      <c r="H7" t="str">
        <f t="shared" si="0"/>
        <v/>
      </c>
      <c r="I7" t="str">
        <f t="shared" si="1"/>
        <v/>
      </c>
      <c r="L7" t="str">
        <f t="shared" si="2"/>
        <v/>
      </c>
    </row>
    <row r="8" spans="1:12" hidden="1">
      <c r="H8" t="str">
        <f t="shared" si="0"/>
        <v/>
      </c>
      <c r="I8" t="str">
        <f t="shared" si="1"/>
        <v/>
      </c>
      <c r="L8" t="str">
        <f t="shared" si="2"/>
        <v/>
      </c>
    </row>
    <row r="9" spans="1:12" hidden="1">
      <c r="H9" t="str">
        <f t="shared" si="0"/>
        <v/>
      </c>
      <c r="I9" t="str">
        <f t="shared" si="1"/>
        <v/>
      </c>
      <c r="L9" t="str">
        <f t="shared" si="2"/>
        <v/>
      </c>
    </row>
    <row r="10" spans="1:12" hidden="1">
      <c r="H10" t="str">
        <f t="shared" si="0"/>
        <v/>
      </c>
      <c r="I10" t="str">
        <f>IFERROR(E10/G10,"")</f>
        <v/>
      </c>
      <c r="L10" t="str">
        <f t="shared" si="2"/>
        <v/>
      </c>
    </row>
    <row r="12" spans="1:12">
      <c r="G12" s="1" t="s">
        <v>25</v>
      </c>
    </row>
    <row r="13" spans="1:12">
      <c r="G13" s="1" t="s">
        <v>20</v>
      </c>
      <c r="H13">
        <f>_xlfn.QUARTILE.INC(H2:H10,1)</f>
        <v>3.9747807017543861</v>
      </c>
    </row>
    <row r="14" spans="1:12">
      <c r="G14" s="1" t="s">
        <v>21</v>
      </c>
      <c r="H14">
        <f>MEDIAN(H2:H10)</f>
        <v>4.1526315789473687</v>
      </c>
    </row>
    <row r="15" spans="1:12">
      <c r="G15" s="1" t="s">
        <v>22</v>
      </c>
      <c r="H15">
        <f>_xlfn.QUARTILE.INC(H2:H10,3)</f>
        <v>4.25</v>
      </c>
    </row>
    <row r="17" spans="7:9">
      <c r="G17" s="1" t="s">
        <v>23</v>
      </c>
    </row>
    <row r="18" spans="7:9">
      <c r="G18" s="1" t="s">
        <v>20</v>
      </c>
      <c r="I18">
        <f>_xlfn.QUARTILE.INC($L$2:$L$10,1)</f>
        <v>10.25689223057644</v>
      </c>
    </row>
    <row r="19" spans="7:9">
      <c r="G19" s="1" t="s">
        <v>21</v>
      </c>
      <c r="I19">
        <f>MEDIAN($L$2:$L$10)</f>
        <v>10.964912280701753</v>
      </c>
    </row>
    <row r="20" spans="7:9">
      <c r="G20" s="1" t="s">
        <v>22</v>
      </c>
      <c r="I20">
        <f>_xlfn.QUARTILE.INC($L$2:$L$10,3)</f>
        <v>13.333333333333332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86A4-E227-44BA-9C3B-11DF0449879F}">
  <dimension ref="A1:Y9"/>
  <sheetViews>
    <sheetView tabSelected="1" zoomScaleNormal="100" workbookViewId="0">
      <selection activeCell="P15" sqref="P15"/>
    </sheetView>
  </sheetViews>
  <sheetFormatPr defaultRowHeight="14.4"/>
  <cols>
    <col min="1" max="1" width="20.44140625" bestFit="1" customWidth="1"/>
    <col min="2" max="3" width="13.6640625" bestFit="1" customWidth="1"/>
    <col min="4" max="4" width="11.44140625" bestFit="1" customWidth="1"/>
    <col min="5" max="5" width="14.109375" bestFit="1" customWidth="1"/>
    <col min="6" max="6" width="13.77734375" bestFit="1" customWidth="1"/>
    <col min="7" max="8" width="14.5546875" bestFit="1" customWidth="1"/>
    <col min="9" max="9" width="8" bestFit="1" customWidth="1"/>
    <col min="10" max="10" width="15.109375" bestFit="1" customWidth="1"/>
    <col min="11" max="11" width="15.88671875" bestFit="1" customWidth="1"/>
    <col min="12" max="13" width="16.6640625" bestFit="1" customWidth="1"/>
    <col min="14" max="14" width="15.6640625" bestFit="1" customWidth="1"/>
    <col min="15" max="16" width="16.44140625" bestFit="1" customWidth="1"/>
    <col min="18" max="18" width="20.44140625" bestFit="1" customWidth="1"/>
    <col min="24" max="24" width="80.88671875" customWidth="1"/>
  </cols>
  <sheetData>
    <row r="1" spans="1:25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5</v>
      </c>
      <c r="J1" t="s">
        <v>38</v>
      </c>
      <c r="K1" t="s">
        <v>39</v>
      </c>
      <c r="L1" t="s">
        <v>40</v>
      </c>
      <c r="M1" t="s">
        <v>6</v>
      </c>
      <c r="N1" t="s">
        <v>41</v>
      </c>
      <c r="O1" t="s">
        <v>42</v>
      </c>
      <c r="P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</row>
    <row r="2" spans="1:25">
      <c r="A2" t="s">
        <v>27</v>
      </c>
      <c r="B2">
        <f>Comps!I16</f>
        <v>2.8461538461538463</v>
      </c>
      <c r="C2">
        <f>Comps!I17</f>
        <v>4.6315789473684212</v>
      </c>
      <c r="D2">
        <f>Comps!I18</f>
        <v>4.7142857142857144</v>
      </c>
      <c r="E2">
        <f>Inputs_Target!C2</f>
        <v>30000</v>
      </c>
      <c r="F2">
        <f>B2 * E2</f>
        <v>85384.61538461539</v>
      </c>
      <c r="G2">
        <f>C2 * E2</f>
        <v>138947.36842105264</v>
      </c>
      <c r="H2">
        <f>D2 * E2</f>
        <v>141428.57142857142</v>
      </c>
      <c r="I2">
        <f>Inputs_Target!F2</f>
        <v>-2000</v>
      </c>
      <c r="J2">
        <f>F2 - I2</f>
        <v>87384.61538461539</v>
      </c>
      <c r="K2">
        <f>G2 - I2</f>
        <v>140947.36842105264</v>
      </c>
      <c r="L2">
        <f>H2 - I2</f>
        <v>143428.57142857142</v>
      </c>
      <c r="M2">
        <f>Inputs_Target!$G$2</f>
        <v>1150</v>
      </c>
      <c r="N2">
        <f>J2 / M2</f>
        <v>75.986622073578602</v>
      </c>
      <c r="O2">
        <f>K2 / M2</f>
        <v>122.5629290617849</v>
      </c>
      <c r="P2">
        <f>L2 / M2</f>
        <v>124.72049689440993</v>
      </c>
      <c r="R2" t="s">
        <v>27</v>
      </c>
      <c r="S2">
        <f>IFERROR(Valuation_Output!N2,"")</f>
        <v>75.986622073578602</v>
      </c>
      <c r="T2">
        <f>IFERROR(Valuation_Output!O2,"")</f>
        <v>122.5629290617849</v>
      </c>
      <c r="U2">
        <f>IFERROR(Valuation_Output!P2,"")</f>
        <v>124.72049689440993</v>
      </c>
      <c r="V2">
        <f>IFERROR(U2-S2,"")</f>
        <v>48.733874820831332</v>
      </c>
      <c r="X2">
        <f>Inputs_Target!H2</f>
        <v>62</v>
      </c>
      <c r="Y2">
        <v>0.5</v>
      </c>
    </row>
    <row r="3" spans="1:25">
      <c r="A3" t="s">
        <v>28</v>
      </c>
      <c r="B3">
        <f>Comps!J21</f>
        <v>9.0714285714285712</v>
      </c>
      <c r="C3">
        <f>Comps!J22</f>
        <v>13.538461538461538</v>
      </c>
      <c r="D3">
        <f>Comps!J23</f>
        <v>14.347826086956522</v>
      </c>
      <c r="E3">
        <f>Inputs_Target!C2</f>
        <v>30000</v>
      </c>
      <c r="F3">
        <f t="shared" ref="F3:F5" si="0">B3 * E3</f>
        <v>272142.85714285716</v>
      </c>
      <c r="G3">
        <f t="shared" ref="G3:G5" si="1">C3 * E3</f>
        <v>406153.84615384613</v>
      </c>
      <c r="H3">
        <f t="shared" ref="H3:H5" si="2">D3 * E3</f>
        <v>430434.78260869562</v>
      </c>
      <c r="I3">
        <f>Inputs_Target!F2</f>
        <v>-2000</v>
      </c>
      <c r="J3">
        <f t="shared" ref="J3:J5" si="3">F3 - I3</f>
        <v>274142.85714285716</v>
      </c>
      <c r="K3">
        <f t="shared" ref="K3:K5" si="4">G3 - I3</f>
        <v>408153.84615384613</v>
      </c>
      <c r="L3">
        <f t="shared" ref="L3:L5" si="5">H3 - I3</f>
        <v>432434.78260869562</v>
      </c>
      <c r="M3">
        <f>Inputs_Target!$G$2</f>
        <v>1150</v>
      </c>
      <c r="N3">
        <f t="shared" ref="N3:N5" si="6">J3 / M3</f>
        <v>238.38509316770188</v>
      </c>
      <c r="O3">
        <f t="shared" ref="O3:O5" si="7">K3 / M3</f>
        <v>354.9163879598662</v>
      </c>
      <c r="P3">
        <f t="shared" ref="P3:P5" si="8">L3 / M3</f>
        <v>376.03024574669183</v>
      </c>
      <c r="R3" t="s">
        <v>28</v>
      </c>
      <c r="S3" t="e">
        <f>NA()</f>
        <v>#N/A</v>
      </c>
      <c r="T3" t="e">
        <f>NA()</f>
        <v>#N/A</v>
      </c>
      <c r="U3" t="e">
        <f>NA()</f>
        <v>#N/A</v>
      </c>
      <c r="V3" t="e">
        <f>NA()</f>
        <v>#N/A</v>
      </c>
      <c r="X3">
        <f>Inputs_Target!H2</f>
        <v>62</v>
      </c>
      <c r="Y3">
        <v>4.5</v>
      </c>
    </row>
    <row r="4" spans="1:25">
      <c r="A4" t="s">
        <v>29</v>
      </c>
      <c r="B4">
        <f>Precedents!H13</f>
        <v>3.9747807017543861</v>
      </c>
      <c r="C4">
        <f>Precedents!H14</f>
        <v>4.1526315789473687</v>
      </c>
      <c r="D4">
        <f>Precedents!H15</f>
        <v>4.25</v>
      </c>
      <c r="E4">
        <f>Inputs_Target!D2</f>
        <v>6000</v>
      </c>
      <c r="F4">
        <f t="shared" si="0"/>
        <v>23848.684210526317</v>
      </c>
      <c r="G4">
        <f t="shared" si="1"/>
        <v>24915.789473684214</v>
      </c>
      <c r="H4">
        <f t="shared" si="2"/>
        <v>25500</v>
      </c>
      <c r="I4">
        <f>Inputs_Target!F2</f>
        <v>-2000</v>
      </c>
      <c r="J4">
        <f t="shared" si="3"/>
        <v>25848.684210526317</v>
      </c>
      <c r="K4">
        <f t="shared" si="4"/>
        <v>26915.789473684214</v>
      </c>
      <c r="L4">
        <f t="shared" si="5"/>
        <v>27500</v>
      </c>
      <c r="M4">
        <f>Inputs_Target!$G$2</f>
        <v>1150</v>
      </c>
      <c r="N4">
        <f t="shared" si="6"/>
        <v>22.477116704805493</v>
      </c>
      <c r="O4">
        <f t="shared" si="7"/>
        <v>23.405034324942793</v>
      </c>
      <c r="P4">
        <f t="shared" si="8"/>
        <v>23.913043478260871</v>
      </c>
      <c r="R4" t="s">
        <v>29</v>
      </c>
      <c r="S4">
        <f>IFERROR(Valuation_Output!N4,"")</f>
        <v>22.477116704805493</v>
      </c>
      <c r="T4">
        <f>IFERROR(Valuation_Output!O4,"")</f>
        <v>23.405034324942793</v>
      </c>
      <c r="U4">
        <f>IFERROR(Valuation_Output!P4,"")</f>
        <v>23.913043478260871</v>
      </c>
      <c r="V4">
        <f t="shared" ref="V4:V5" si="9">IFERROR(U4-S4,"")</f>
        <v>1.4359267734553782</v>
      </c>
    </row>
    <row r="5" spans="1:25">
      <c r="A5" t="s">
        <v>30</v>
      </c>
      <c r="B5">
        <f>Precedents!I18</f>
        <v>10.25689223057644</v>
      </c>
      <c r="C5">
        <f>Precedents!I19</f>
        <v>10.964912280701753</v>
      </c>
      <c r="D5">
        <f>Precedents!I20</f>
        <v>13.333333333333332</v>
      </c>
      <c r="E5">
        <f>Inputs_Target!D2</f>
        <v>6000</v>
      </c>
      <c r="F5">
        <f t="shared" si="0"/>
        <v>61541.353383458641</v>
      </c>
      <c r="G5">
        <f t="shared" si="1"/>
        <v>65789.473684210519</v>
      </c>
      <c r="H5">
        <f t="shared" si="2"/>
        <v>80000</v>
      </c>
      <c r="I5">
        <f>Inputs_Target!F2</f>
        <v>-2000</v>
      </c>
      <c r="J5">
        <f t="shared" si="3"/>
        <v>63541.353383458641</v>
      </c>
      <c r="K5">
        <f t="shared" si="4"/>
        <v>67789.473684210519</v>
      </c>
      <c r="L5">
        <f t="shared" si="5"/>
        <v>82000</v>
      </c>
      <c r="M5">
        <f>Inputs_Target!$G$2</f>
        <v>1150</v>
      </c>
      <c r="N5">
        <f t="shared" si="6"/>
        <v>55.253350768224905</v>
      </c>
      <c r="O5">
        <f t="shared" si="7"/>
        <v>58.947368421052623</v>
      </c>
      <c r="P5">
        <f t="shared" si="8"/>
        <v>71.304347826086953</v>
      </c>
      <c r="R5" t="s">
        <v>30</v>
      </c>
      <c r="S5">
        <f>IFERROR(Valuation_Output!N5,"")</f>
        <v>55.253350768224905</v>
      </c>
      <c r="T5">
        <f>IFERROR(Valuation_Output!O5,"")</f>
        <v>58.947368421052623</v>
      </c>
      <c r="U5">
        <f>IFERROR(Valuation_Output!P5,"")</f>
        <v>71.304347826086953</v>
      </c>
      <c r="V5">
        <f t="shared" si="9"/>
        <v>16.050997057862048</v>
      </c>
    </row>
    <row r="7" spans="1:25" hidden="1"/>
    <row r="8" spans="1:25" hidden="1"/>
    <row r="9" spans="1:25" ht="40.799999999999997" customHeight="1">
      <c r="X9" s="4" t="s">
        <v>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2931-28D6-40C2-B5F9-A1F7439C7452}">
  <dimension ref="A1:A4"/>
  <sheetViews>
    <sheetView showGridLines="0" workbookViewId="0">
      <selection activeCell="A9" sqref="A9"/>
    </sheetView>
  </sheetViews>
  <sheetFormatPr defaultRowHeight="14.4"/>
  <cols>
    <col min="1" max="1" width="45" customWidth="1"/>
  </cols>
  <sheetData>
    <row r="1" spans="1:1" ht="47.4" customHeight="1">
      <c r="A1" s="3" t="s">
        <v>75</v>
      </c>
    </row>
    <row r="4" spans="1:1">
      <c r="A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02E910F08E3438AEF2D1B44C4DA32" ma:contentTypeVersion="3" ma:contentTypeDescription="Create a new document." ma:contentTypeScope="" ma:versionID="784007c302eb32ac9a27ddb01f458f11">
  <xsd:schema xmlns:xsd="http://www.w3.org/2001/XMLSchema" xmlns:xs="http://www.w3.org/2001/XMLSchema" xmlns:p="http://schemas.microsoft.com/office/2006/metadata/properties" xmlns:ns3="0493ec73-0735-4f49-aef5-489fb4b55c13" targetNamespace="http://schemas.microsoft.com/office/2006/metadata/properties" ma:root="true" ma:fieldsID="391fa8b1ffba8d00d4d0e327982aeb22" ns3:_="">
    <xsd:import namespace="0493ec73-0735-4f49-aef5-489fb4b55c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3ec73-0735-4f49-aef5-489fb4b55c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72C31B-7598-4D51-A273-4148866280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0C9EFA-5219-4139-9CD2-ABBCCC1C5E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93ec73-0735-4f49-aef5-489fb4b55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F39222-5F8D-4881-A4E5-C430E50C2D74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0493ec73-0735-4f49-aef5-489fb4b55c1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Inputs_Target</vt:lpstr>
      <vt:lpstr>Comps</vt:lpstr>
      <vt:lpstr>Precedents</vt:lpstr>
      <vt:lpstr>Valuation_Output</vt:lpstr>
      <vt:lpstr>Assumptions_NotesNotes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Tice</dc:creator>
  <cp:lastModifiedBy>Liam Tice</cp:lastModifiedBy>
  <dcterms:created xsi:type="dcterms:W3CDTF">2025-12-18T05:36:13Z</dcterms:created>
  <dcterms:modified xsi:type="dcterms:W3CDTF">2025-12-19T00:57:21Z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0x010100A9402E910F08E3438AEF2D1B44C4DA32</vt:lpwstr>
  </property>
</Properties>
</file>